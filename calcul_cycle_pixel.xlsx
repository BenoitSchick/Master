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is\Documents\HEIA_FR\Master\Advanced_hardware_design\"/>
    </mc:Choice>
  </mc:AlternateContent>
  <xr:revisionPtr revIDLastSave="0" documentId="13_ncr:1_{664E6F74-03A8-4D38-A75C-FBF269E047FA}" xr6:coauthVersionLast="47" xr6:coauthVersionMax="47" xr10:uidLastSave="{00000000-0000-0000-0000-000000000000}"/>
  <bookViews>
    <workbookView xWindow="-1044" yWindow="-17388" windowWidth="30936" windowHeight="17496" xr2:uid="{B580467B-BE93-4B89-9B37-A1FB2DBFC3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D27" i="1" s="1"/>
  <c r="AC16" i="1"/>
  <c r="AC17" i="1"/>
  <c r="C174" i="1"/>
  <c r="C167" i="1"/>
  <c r="C169" i="1" s="1"/>
  <c r="C160" i="1"/>
  <c r="C162" i="1" s="1"/>
  <c r="C153" i="1"/>
  <c r="C146" i="1"/>
  <c r="C139" i="1"/>
  <c r="C141" i="1" s="1"/>
  <c r="C132" i="1"/>
  <c r="C125" i="1"/>
  <c r="C127" i="1" s="1"/>
  <c r="C76" i="1"/>
  <c r="C118" i="1"/>
  <c r="C111" i="1"/>
  <c r="C104" i="1"/>
  <c r="C106" i="1" s="1"/>
  <c r="C97" i="1"/>
  <c r="C90" i="1"/>
  <c r="C83" i="1"/>
  <c r="C69" i="1"/>
  <c r="C71" i="1" s="1"/>
  <c r="D69" i="1"/>
  <c r="D71" i="1" s="1"/>
  <c r="D64" i="1"/>
  <c r="D62" i="1"/>
  <c r="D63" i="1" s="1"/>
  <c r="D55" i="1"/>
  <c r="D54" i="1"/>
  <c r="D37" i="1"/>
  <c r="S16" i="1"/>
  <c r="S17" i="1"/>
  <c r="P16" i="1"/>
  <c r="P17" i="1" s="1"/>
  <c r="D45" i="1"/>
  <c r="D47" i="1" s="1"/>
  <c r="D35" i="1"/>
  <c r="D25" i="1"/>
  <c r="C25" i="1"/>
  <c r="C27" i="1" s="1"/>
  <c r="B6" i="1"/>
  <c r="D34" i="1"/>
  <c r="D24" i="1"/>
  <c r="C24" i="1"/>
  <c r="D44" i="1"/>
  <c r="Y16" i="1"/>
  <c r="Y17" i="1" s="1"/>
  <c r="Z16" i="1"/>
  <c r="Z17" i="1" s="1"/>
  <c r="AA16" i="1"/>
  <c r="AA17" i="1" s="1"/>
  <c r="AB16" i="1"/>
  <c r="AB17" i="1" s="1"/>
  <c r="AD16" i="1"/>
  <c r="AD17" i="1" s="1"/>
  <c r="AE16" i="1"/>
  <c r="AE17" i="1" s="1"/>
  <c r="AF16" i="1"/>
  <c r="AF17" i="1" s="1"/>
  <c r="AG16" i="1"/>
  <c r="AG17" i="1" s="1"/>
  <c r="AH16" i="1"/>
  <c r="AH17" i="1" s="1"/>
  <c r="AI16" i="1"/>
  <c r="AI17" i="1" s="1"/>
  <c r="AJ16" i="1"/>
  <c r="AJ17" i="1" s="1"/>
  <c r="AK16" i="1"/>
  <c r="AK17" i="1" s="1"/>
  <c r="X16" i="1"/>
  <c r="X17" i="1" s="1"/>
  <c r="T16" i="1"/>
  <c r="T17" i="1" s="1"/>
  <c r="U16" i="1"/>
  <c r="U17" i="1" s="1"/>
  <c r="V16" i="1"/>
  <c r="V17" i="1" s="1"/>
  <c r="W16" i="1"/>
  <c r="W17" i="1" s="1"/>
  <c r="Q16" i="1"/>
  <c r="Q17" i="1" s="1"/>
  <c r="F6" i="1"/>
  <c r="F11" i="1" s="1"/>
  <c r="C70" i="1" l="1"/>
  <c r="C112" i="1"/>
  <c r="D70" i="1"/>
  <c r="C120" i="1"/>
  <c r="D46" i="1"/>
  <c r="D36" i="1"/>
  <c r="D57" i="1"/>
  <c r="C78" i="1"/>
  <c r="C175" i="1"/>
  <c r="C85" i="1"/>
  <c r="C134" i="1"/>
  <c r="C91" i="1"/>
  <c r="C140" i="1"/>
  <c r="C99" i="1"/>
  <c r="C147" i="1"/>
  <c r="C154" i="1"/>
  <c r="C168" i="1"/>
  <c r="C161" i="1"/>
  <c r="C155" i="1"/>
  <c r="C176" i="1"/>
  <c r="C133" i="1"/>
  <c r="C126" i="1"/>
  <c r="C148" i="1"/>
  <c r="C119" i="1"/>
  <c r="C105" i="1"/>
  <c r="C77" i="1"/>
  <c r="C113" i="1"/>
  <c r="C98" i="1"/>
  <c r="C92" i="1"/>
  <c r="C84" i="1"/>
  <c r="D56" i="1"/>
  <c r="C26" i="1"/>
  <c r="D26" i="1"/>
  <c r="AK11" i="1"/>
  <c r="AB11" i="1"/>
  <c r="AC11" i="1"/>
  <c r="AD11" i="1"/>
  <c r="Q11" i="1"/>
  <c r="AE11" i="1"/>
  <c r="W11" i="1"/>
  <c r="U11" i="1"/>
  <c r="AF11" i="1"/>
  <c r="R11" i="1"/>
  <c r="P11" i="1"/>
  <c r="I11" i="1"/>
  <c r="T11" i="1"/>
  <c r="Y11" i="1"/>
  <c r="AH11" i="1"/>
  <c r="Z11" i="1"/>
  <c r="J11" i="1"/>
  <c r="H11" i="1"/>
  <c r="V11" i="1"/>
  <c r="S11" i="1"/>
  <c r="X11" i="1"/>
  <c r="AA11" i="1"/>
  <c r="AI11" i="1"/>
  <c r="L11" i="1"/>
  <c r="M11" i="1"/>
  <c r="N11" i="1"/>
  <c r="O11" i="1"/>
  <c r="G11" i="1"/>
</calcChain>
</file>

<file path=xl/sharedStrings.xml><?xml version="1.0" encoding="utf-8"?>
<sst xmlns="http://schemas.openxmlformats.org/spreadsheetml/2006/main" count="170" uniqueCount="58">
  <si>
    <t>Nbre_pixels</t>
  </si>
  <si>
    <t>cycles sobel_complete</t>
  </si>
  <si>
    <t>cycles grayscale</t>
  </si>
  <si>
    <t>Nb cycles/pixel</t>
  </si>
  <si>
    <t>LUT</t>
  </si>
  <si>
    <t>CACHE</t>
  </si>
  <si>
    <t>Subimage 32x32</t>
  </si>
  <si>
    <t>Subimage 16x16</t>
  </si>
  <si>
    <t>Subimage 64x32</t>
  </si>
  <si>
    <t>subimage 32x32 avec sobel result uncached</t>
  </si>
  <si>
    <t>subimage 32x32 avec sobel result cached</t>
  </si>
  <si>
    <t>subimage 32x32 avec sobel result sur Stack</t>
  </si>
  <si>
    <t>subimage 32x32 avec sobel result uncached avec toutes les variables en 32bits</t>
  </si>
  <si>
    <t>CI grayscale</t>
  </si>
  <si>
    <t>CI sobel+gray</t>
  </si>
  <si>
    <t>CI sobel+gray+decimation</t>
  </si>
  <si>
    <t>TCM 34kByte (sobel malloc), data cache 8kByte avec CI</t>
  </si>
  <si>
    <t>sobel uncached</t>
  </si>
  <si>
    <t>sobel cached sans TCM avec 8kBytes de data cache</t>
  </si>
  <si>
    <t>sobel cached + grayscale in TCM</t>
  </si>
  <si>
    <t>sobel + grayscale in TCM</t>
  </si>
  <si>
    <t>sans TCM avec 32kByte data cache</t>
  </si>
  <si>
    <t>Sobel+gray sur image 320x240</t>
  </si>
  <si>
    <t>loop unrolling complet pour x (grayscale)</t>
  </si>
  <si>
    <t>funroll-loops flag</t>
  </si>
  <si>
    <t>O3</t>
  </si>
  <si>
    <t>O0</t>
  </si>
  <si>
    <t>grayscale</t>
  </si>
  <si>
    <t>sobel_x</t>
  </si>
  <si>
    <t>sobel_y</t>
  </si>
  <si>
    <t>sobel_complete</t>
  </si>
  <si>
    <t>sobel_treshold</t>
  </si>
  <si>
    <t>Avant Optimisation</t>
  </si>
  <si>
    <t>Suppression inner loop dans sobel mac</t>
  </si>
  <si>
    <t>TOTAL INSTR</t>
  </si>
  <si>
    <t>NB CYCLES/PIXEL</t>
  </si>
  <si>
    <t>width</t>
  </si>
  <si>
    <t>height</t>
  </si>
  <si>
    <t>nb pixel</t>
  </si>
  <si>
    <t>FPS</t>
  </si>
  <si>
    <t>Tclock</t>
  </si>
  <si>
    <t>Optimisation</t>
  </si>
  <si>
    <t>No loop dans sobel mac</t>
  </si>
  <si>
    <t>No loop + inline sobel x &amp; sobel y</t>
  </si>
  <si>
    <t>Merge sobel x + sobel y + treshold dans sobel_complete</t>
  </si>
  <si>
    <t>Optimisation sobel + grayscale (pre-calcul d'indice, declaration variable row, remplace mult par decalage)</t>
  </si>
  <si>
    <t>Ajout de 32kBytes de data cache</t>
  </si>
  <si>
    <t>LUT qui stocke la transformation rgb to grayscale</t>
  </si>
  <si>
    <t>sobel complete</t>
  </si>
  <si>
    <t>Subimage 32x32 avec sobel result cached (malloc)</t>
  </si>
  <si>
    <t>Subimage 32x32 avec sobel result uncached (uncached_malloc)</t>
  </si>
  <si>
    <t>Subimage 32x32 avec sobel result sur Stack (sans malloc)</t>
  </si>
  <si>
    <t>Subimage 32x32 avec sobel result uncached avec toutes les variables en 32bits</t>
  </si>
  <si>
    <t>Calcul sobel 1 pixel sur 2 sur lignes &amp; colonnes (decimation)</t>
  </si>
  <si>
    <t>CI grayscale + CI sobel + decimation (sans interpolation)</t>
  </si>
  <si>
    <t>Decimation + Interpolation sur sobel</t>
  </si>
  <si>
    <t>CI grayscale + CI sobel (sans decimation)</t>
  </si>
  <si>
    <t>CI grayscale (sans decimation sur sobel)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</si>
</sst>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11" fontId="1" fillId="2" borderId="0" xfId="0" applyNumberFormat="1" applyFont="1" applyFill="1"/>
    <xf numFmtId="0" fontId="1" fillId="4" borderId="0" xfId="0" applyFont="1" applyFill="1"/>
    <xf numFmtId="0" fontId="1" fillId="2" borderId="0" xfId="0" applyNumberFormat="1" applyFont="1" applyFill="1"/>
    <xf numFmtId="11" fontId="1" fillId="3" borderId="0" xfId="0" applyNumberFormat="1" applyFont="1" applyFill="1"/>
    <xf numFmtId="11" fontId="0" fillId="0" borderId="0" xfId="0" applyNumberFormat="1" applyAlignment="1">
      <alignment horizontal="right"/>
    </xf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53B8-5D5B-4238-8F52-35105F746F78}">
  <dimension ref="A2:AK176"/>
  <sheetViews>
    <sheetView tabSelected="1" topLeftCell="A134" zoomScale="85" workbookViewId="0">
      <selection activeCell="A178" sqref="A178"/>
    </sheetView>
  </sheetViews>
  <sheetFormatPr baseColWidth="10" defaultRowHeight="14.5" x14ac:dyDescent="0.35"/>
  <cols>
    <col min="1" max="1" width="92.90625" customWidth="1"/>
    <col min="2" max="2" width="34.7265625" customWidth="1"/>
    <col min="3" max="3" width="17.08984375" customWidth="1"/>
    <col min="4" max="4" width="18.36328125" customWidth="1"/>
    <col min="5" max="5" width="28.36328125" customWidth="1"/>
    <col min="8" max="8" width="16.36328125" customWidth="1"/>
    <col min="9" max="9" width="17.08984375" customWidth="1"/>
    <col min="10" max="10" width="15" customWidth="1"/>
    <col min="12" max="12" width="37.26953125" customWidth="1"/>
    <col min="13" max="13" width="43.6328125" customWidth="1"/>
    <col min="14" max="14" width="40.26953125" customWidth="1"/>
    <col min="15" max="15" width="68.7265625" customWidth="1"/>
    <col min="27" max="27" width="47.54296875" customWidth="1"/>
    <col min="28" max="28" width="18.453125" customWidth="1"/>
    <col min="29" max="29" width="45.90625" customWidth="1"/>
    <col min="30" max="30" width="28.36328125" customWidth="1"/>
    <col min="31" max="31" width="24.90625" customWidth="1"/>
    <col min="32" max="32" width="30.81640625" customWidth="1"/>
    <col min="34" max="34" width="26.36328125" customWidth="1"/>
    <col min="35" max="35" width="35.54296875" customWidth="1"/>
    <col min="37" max="37" width="20.90625" customWidth="1"/>
  </cols>
  <sheetData>
    <row r="2" spans="1:37" x14ac:dyDescent="0.35">
      <c r="F2" t="s">
        <v>5</v>
      </c>
      <c r="G2" t="s">
        <v>4</v>
      </c>
      <c r="H2" t="s">
        <v>8</v>
      </c>
      <c r="I2" t="s">
        <v>6</v>
      </c>
      <c r="J2" t="s">
        <v>7</v>
      </c>
      <c r="L2" t="s">
        <v>9</v>
      </c>
      <c r="M2" t="s">
        <v>10</v>
      </c>
      <c r="N2" t="s">
        <v>11</v>
      </c>
      <c r="O2" t="s">
        <v>12</v>
      </c>
    </row>
    <row r="4" spans="1:37" x14ac:dyDescent="0.35">
      <c r="A4" s="3" t="s">
        <v>36</v>
      </c>
      <c r="B4">
        <v>512</v>
      </c>
      <c r="E4">
        <v>384</v>
      </c>
      <c r="F4">
        <v>512</v>
      </c>
    </row>
    <row r="5" spans="1:37" x14ac:dyDescent="0.35">
      <c r="A5" s="3" t="s">
        <v>37</v>
      </c>
      <c r="B5">
        <v>384</v>
      </c>
      <c r="U5" t="s">
        <v>13</v>
      </c>
      <c r="V5" t="s">
        <v>14</v>
      </c>
      <c r="X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21</v>
      </c>
      <c r="AH5" t="s">
        <v>22</v>
      </c>
      <c r="AI5" t="s">
        <v>23</v>
      </c>
      <c r="AK5" t="s">
        <v>24</v>
      </c>
    </row>
    <row r="6" spans="1:37" x14ac:dyDescent="0.35">
      <c r="A6" s="3" t="s">
        <v>38</v>
      </c>
      <c r="B6" s="3">
        <f>B4*B5</f>
        <v>196608</v>
      </c>
      <c r="E6" t="s">
        <v>0</v>
      </c>
      <c r="F6">
        <f>E4*F4</f>
        <v>196608</v>
      </c>
    </row>
    <row r="7" spans="1:37" x14ac:dyDescent="0.35">
      <c r="A7" s="3" t="s">
        <v>40</v>
      </c>
      <c r="B7" s="12">
        <f>1/50000000</f>
        <v>2E-8</v>
      </c>
    </row>
    <row r="8" spans="1:37" x14ac:dyDescent="0.35">
      <c r="E8" t="s">
        <v>1</v>
      </c>
      <c r="F8">
        <v>20153129</v>
      </c>
      <c r="G8">
        <v>18776328</v>
      </c>
      <c r="H8">
        <v>18776328</v>
      </c>
      <c r="I8">
        <v>18776328</v>
      </c>
      <c r="J8">
        <v>18776328</v>
      </c>
      <c r="L8" s="1">
        <v>11951522</v>
      </c>
      <c r="M8" s="2">
        <v>23833070</v>
      </c>
      <c r="N8" s="1">
        <v>19909290</v>
      </c>
      <c r="O8" s="1">
        <v>10296189</v>
      </c>
      <c r="P8">
        <v>10675289</v>
      </c>
      <c r="Q8">
        <v>2816342</v>
      </c>
      <c r="S8">
        <v>4824463</v>
      </c>
      <c r="U8">
        <v>9696266</v>
      </c>
      <c r="V8">
        <v>7634716</v>
      </c>
      <c r="X8">
        <v>2179138</v>
      </c>
      <c r="AA8">
        <v>7752733</v>
      </c>
      <c r="AB8">
        <v>7875645</v>
      </c>
      <c r="AC8">
        <v>7643014</v>
      </c>
      <c r="AD8">
        <v>7623525</v>
      </c>
      <c r="AE8">
        <v>7586948</v>
      </c>
      <c r="AF8">
        <v>7604944</v>
      </c>
      <c r="AH8">
        <v>2927796</v>
      </c>
      <c r="AI8">
        <v>2881913</v>
      </c>
      <c r="AK8">
        <v>2534858</v>
      </c>
    </row>
    <row r="9" spans="1:37" x14ac:dyDescent="0.35">
      <c r="E9" t="s">
        <v>2</v>
      </c>
      <c r="F9">
        <v>6430141</v>
      </c>
      <c r="G9">
        <v>4408428</v>
      </c>
      <c r="H9">
        <v>4229894</v>
      </c>
      <c r="I9">
        <v>3715690</v>
      </c>
      <c r="J9">
        <v>3781634</v>
      </c>
      <c r="L9" s="1">
        <v>3686602</v>
      </c>
      <c r="M9" s="2">
        <v>3698648</v>
      </c>
      <c r="N9" s="1">
        <v>3685206</v>
      </c>
      <c r="O9" s="1">
        <v>3918827</v>
      </c>
      <c r="P9">
        <v>3953841</v>
      </c>
      <c r="Q9">
        <v>4351191</v>
      </c>
      <c r="S9">
        <v>6385787</v>
      </c>
      <c r="U9">
        <v>2835813</v>
      </c>
      <c r="V9">
        <v>2231951</v>
      </c>
      <c r="X9">
        <v>2262266</v>
      </c>
      <c r="AA9">
        <v>2072353</v>
      </c>
      <c r="AB9">
        <v>2209818</v>
      </c>
      <c r="AC9">
        <v>2234900</v>
      </c>
      <c r="AD9">
        <v>2072816</v>
      </c>
      <c r="AE9">
        <v>2266619</v>
      </c>
      <c r="AF9">
        <v>2194123</v>
      </c>
      <c r="AH9">
        <v>877405</v>
      </c>
      <c r="AI9">
        <v>778470</v>
      </c>
      <c r="AK9">
        <v>785947</v>
      </c>
    </row>
    <row r="10" spans="1:37" x14ac:dyDescent="0.35">
      <c r="L10" s="1"/>
    </row>
    <row r="11" spans="1:37" x14ac:dyDescent="0.35">
      <c r="E11" t="s">
        <v>3</v>
      </c>
      <c r="F11">
        <f>(F8+F9)/$F$6</f>
        <v>135.20950317382813</v>
      </c>
      <c r="G11">
        <f>(G8+G9)/$F$6</f>
        <v>117.92376708984375</v>
      </c>
      <c r="H11">
        <f t="shared" ref="H11:J11" si="0">(H8+H9)/$F$6</f>
        <v>117.0156962076823</v>
      </c>
      <c r="I11">
        <f t="shared" si="0"/>
        <v>114.4003194173177</v>
      </c>
      <c r="J11">
        <f t="shared" si="0"/>
        <v>114.73572794596355</v>
      </c>
      <c r="L11" s="1">
        <f t="shared" ref="L11:Y11" si="1">(L8+L9)/$F$6</f>
        <v>79.53961181640625</v>
      </c>
      <c r="M11" s="1">
        <f t="shared" si="1"/>
        <v>140.03355916341147</v>
      </c>
      <c r="N11" s="1">
        <f t="shared" si="1"/>
        <v>120.0078125</v>
      </c>
      <c r="O11" s="1">
        <f t="shared" si="1"/>
        <v>72.301310221354171</v>
      </c>
      <c r="P11" s="1">
        <f t="shared" si="1"/>
        <v>74.407602945963546</v>
      </c>
      <c r="Q11" s="1">
        <f t="shared" si="1"/>
        <v>36.455958048502602</v>
      </c>
      <c r="R11" s="1">
        <f t="shared" si="1"/>
        <v>0</v>
      </c>
      <c r="S11" s="1">
        <f t="shared" si="1"/>
        <v>57.018280029296875</v>
      </c>
      <c r="T11" s="1">
        <f t="shared" si="1"/>
        <v>0</v>
      </c>
      <c r="U11" s="1">
        <f t="shared" si="1"/>
        <v>63.741449991861977</v>
      </c>
      <c r="V11" s="1">
        <f t="shared" si="1"/>
        <v>50.184463500976563</v>
      </c>
      <c r="W11" s="1">
        <f t="shared" si="1"/>
        <v>0</v>
      </c>
      <c r="X11" s="1">
        <f t="shared" si="1"/>
        <v>22.59014892578125</v>
      </c>
      <c r="Y11" s="1">
        <f t="shared" si="1"/>
        <v>0</v>
      </c>
      <c r="Z11" s="1">
        <f t="shared" ref="Z11:AF11" si="2">(Z8+Z9)/$F$6</f>
        <v>0</v>
      </c>
      <c r="AA11" s="1">
        <f t="shared" si="2"/>
        <v>49.972971598307289</v>
      </c>
      <c r="AB11" s="1">
        <f t="shared" si="2"/>
        <v>51.297317504882813</v>
      </c>
      <c r="AC11" s="1">
        <f t="shared" si="2"/>
        <v>50.241668701171875</v>
      </c>
      <c r="AD11" s="1">
        <f t="shared" si="2"/>
        <v>49.318140665690102</v>
      </c>
      <c r="AE11" s="1">
        <f t="shared" si="2"/>
        <v>50.117833455403648</v>
      </c>
      <c r="AF11" s="1">
        <f t="shared" si="2"/>
        <v>49.840632120768227</v>
      </c>
      <c r="AG11" s="1"/>
      <c r="AH11" s="1">
        <f>(AH8+AH9)/$F$6</f>
        <v>19.35425313313802</v>
      </c>
      <c r="AI11" s="1">
        <f>(AI8+AI9)/$F$6</f>
        <v>18.61767069498698</v>
      </c>
      <c r="AJ11" s="1"/>
      <c r="AK11" s="1">
        <f>(AK8+AK9)/$F$6</f>
        <v>16.890487670898438</v>
      </c>
    </row>
    <row r="16" spans="1:37" x14ac:dyDescent="0.35">
      <c r="P16">
        <f>(P8+P9)*(1/50000000)</f>
        <v>0.29258260000000003</v>
      </c>
      <c r="Q16">
        <f>(Q8+Q9)*(1/50000000)</f>
        <v>0.14335065999999999</v>
      </c>
      <c r="S16">
        <f>(S8+S9)*(1/50000000)</f>
        <v>0.22420500000000002</v>
      </c>
      <c r="T16">
        <f t="shared" ref="T16:W16" si="3">(T8+T9)*(1/50000000)</f>
        <v>0</v>
      </c>
      <c r="U16">
        <f t="shared" si="3"/>
        <v>0.25064158000000003</v>
      </c>
      <c r="V16">
        <f t="shared" si="3"/>
        <v>0.19733334</v>
      </c>
      <c r="W16">
        <f t="shared" si="3"/>
        <v>0</v>
      </c>
      <c r="X16">
        <f>(X8+X9)*(1/50000000)</f>
        <v>8.8828080000000004E-2</v>
      </c>
      <c r="Y16">
        <f t="shared" ref="Y16:AK16" si="4">(Y8+Y9)*(1/50000000)</f>
        <v>0</v>
      </c>
      <c r="Z16">
        <f t="shared" si="4"/>
        <v>0</v>
      </c>
      <c r="AA16">
        <f t="shared" si="4"/>
        <v>0.19650171999999999</v>
      </c>
      <c r="AB16">
        <f t="shared" si="4"/>
        <v>0.20170926</v>
      </c>
      <c r="AC16">
        <f>(AC8+AC9)*(1/50000000)</f>
        <v>0.19755828</v>
      </c>
      <c r="AD16">
        <f t="shared" si="4"/>
        <v>0.19392682</v>
      </c>
      <c r="AE16">
        <f t="shared" si="4"/>
        <v>0.19707134000000001</v>
      </c>
      <c r="AF16">
        <f t="shared" si="4"/>
        <v>0.19598134</v>
      </c>
      <c r="AG16">
        <f t="shared" si="4"/>
        <v>0</v>
      </c>
      <c r="AH16">
        <f t="shared" si="4"/>
        <v>7.6104020000000008E-2</v>
      </c>
      <c r="AI16">
        <f t="shared" si="4"/>
        <v>7.3207660000000008E-2</v>
      </c>
      <c r="AJ16">
        <f t="shared" si="4"/>
        <v>0</v>
      </c>
      <c r="AK16">
        <f t="shared" si="4"/>
        <v>6.6416100000000006E-2</v>
      </c>
    </row>
    <row r="17" spans="1:37" x14ac:dyDescent="0.35">
      <c r="P17">
        <f>1/P16</f>
        <v>3.4178382446529625</v>
      </c>
      <c r="Q17">
        <f>1/Q16</f>
        <v>6.9759009131872851</v>
      </c>
      <c r="S17">
        <f>1/S16</f>
        <v>4.4602038313150905</v>
      </c>
      <c r="T17" t="e">
        <f t="shared" ref="T17:AK17" si="5">1/T16</f>
        <v>#DIV/0!</v>
      </c>
      <c r="U17">
        <f t="shared" si="5"/>
        <v>3.9897609965593093</v>
      </c>
      <c r="V17">
        <f t="shared" si="5"/>
        <v>5.0675673963659662</v>
      </c>
      <c r="W17" t="e">
        <f t="shared" si="5"/>
        <v>#DIV/0!</v>
      </c>
      <c r="X17">
        <f t="shared" si="5"/>
        <v>11.257701393523309</v>
      </c>
      <c r="Y17" t="e">
        <f t="shared" si="5"/>
        <v>#DIV/0!</v>
      </c>
      <c r="Z17" t="e">
        <f t="shared" si="5"/>
        <v>#DIV/0!</v>
      </c>
      <c r="AA17">
        <f t="shared" si="5"/>
        <v>5.0890139791142799</v>
      </c>
      <c r="AB17">
        <f t="shared" si="5"/>
        <v>4.9576306015896341</v>
      </c>
      <c r="AC17">
        <f>1/AC16</f>
        <v>5.061797460475967</v>
      </c>
      <c r="AD17">
        <f t="shared" si="5"/>
        <v>5.1565843239217761</v>
      </c>
      <c r="AE17">
        <f t="shared" si="5"/>
        <v>5.0743045640223485</v>
      </c>
      <c r="AF17">
        <f t="shared" si="5"/>
        <v>5.1025265976852694</v>
      </c>
      <c r="AG17" t="e">
        <f t="shared" si="5"/>
        <v>#DIV/0!</v>
      </c>
      <c r="AH17">
        <f t="shared" si="5"/>
        <v>13.139910349019669</v>
      </c>
      <c r="AI17">
        <f t="shared" si="5"/>
        <v>13.659772761484248</v>
      </c>
      <c r="AJ17" t="e">
        <f t="shared" si="5"/>
        <v>#DIV/0!</v>
      </c>
      <c r="AK17">
        <f t="shared" si="5"/>
        <v>15.056590194245068</v>
      </c>
    </row>
    <row r="18" spans="1:37" x14ac:dyDescent="0.35">
      <c r="B18" s="9" t="s">
        <v>41</v>
      </c>
      <c r="C18" s="9" t="s">
        <v>25</v>
      </c>
      <c r="D18" s="9" t="s">
        <v>26</v>
      </c>
    </row>
    <row r="19" spans="1:37" x14ac:dyDescent="0.35">
      <c r="C19" s="3"/>
      <c r="D19" s="3"/>
    </row>
    <row r="20" spans="1:37" x14ac:dyDescent="0.35">
      <c r="A20" s="9" t="s">
        <v>32</v>
      </c>
      <c r="B20" s="3" t="s">
        <v>27</v>
      </c>
      <c r="C20">
        <v>24362361</v>
      </c>
      <c r="D20">
        <v>106282234</v>
      </c>
    </row>
    <row r="21" spans="1:37" x14ac:dyDescent="0.35">
      <c r="B21" s="3" t="s">
        <v>28</v>
      </c>
      <c r="C21">
        <v>28744760</v>
      </c>
      <c r="D21">
        <v>722128999</v>
      </c>
    </row>
    <row r="22" spans="1:37" x14ac:dyDescent="0.35">
      <c r="B22" s="3" t="s">
        <v>29</v>
      </c>
      <c r="C22">
        <v>26368741</v>
      </c>
      <c r="D22">
        <v>722212033</v>
      </c>
    </row>
    <row r="23" spans="1:37" x14ac:dyDescent="0.35">
      <c r="B23" s="3" t="s">
        <v>31</v>
      </c>
      <c r="C23">
        <v>31073683</v>
      </c>
      <c r="D23">
        <v>102474052</v>
      </c>
    </row>
    <row r="24" spans="1:37" x14ac:dyDescent="0.35">
      <c r="B24" s="3" t="s">
        <v>30</v>
      </c>
      <c r="C24">
        <f>C21+C22+C23</f>
        <v>86187184</v>
      </c>
      <c r="D24">
        <f>D21+D22+D23</f>
        <v>1546815084</v>
      </c>
    </row>
    <row r="25" spans="1:37" x14ac:dyDescent="0.35">
      <c r="B25" s="4" t="s">
        <v>34</v>
      </c>
      <c r="C25" s="4">
        <f>SUM(C20:C23)</f>
        <v>110549545</v>
      </c>
      <c r="D25" s="4">
        <f>SUM(D20:D23)</f>
        <v>1653097318</v>
      </c>
    </row>
    <row r="26" spans="1:37" x14ac:dyDescent="0.35">
      <c r="B26" s="4" t="s">
        <v>35</v>
      </c>
      <c r="C26" s="4">
        <f>C25/$B$6</f>
        <v>562.28406270345056</v>
      </c>
      <c r="D26" s="4">
        <f>D25/$B$6</f>
        <v>8408.0877583821621</v>
      </c>
    </row>
    <row r="27" spans="1:37" x14ac:dyDescent="0.35">
      <c r="B27" s="4" t="s">
        <v>39</v>
      </c>
      <c r="C27" s="8">
        <f>1/(C25*$B$7)</f>
        <v>0.45228589588496271</v>
      </c>
      <c r="D27" s="10">
        <f>1/(D25*$B$7)</f>
        <v>3.0246253173099636E-2</v>
      </c>
    </row>
    <row r="28" spans="1:37" x14ac:dyDescent="0.35">
      <c r="B28" s="6"/>
      <c r="C28" s="7"/>
      <c r="D28" s="7"/>
    </row>
    <row r="30" spans="1:37" x14ac:dyDescent="0.35">
      <c r="A30" s="9" t="s">
        <v>33</v>
      </c>
      <c r="B30" s="3" t="s">
        <v>27</v>
      </c>
      <c r="D30">
        <v>105950765</v>
      </c>
    </row>
    <row r="31" spans="1:37" x14ac:dyDescent="0.35">
      <c r="B31" s="3" t="s">
        <v>28</v>
      </c>
      <c r="D31">
        <v>536966779</v>
      </c>
    </row>
    <row r="32" spans="1:37" x14ac:dyDescent="0.35">
      <c r="B32" s="3" t="s">
        <v>29</v>
      </c>
      <c r="D32">
        <v>537526338</v>
      </c>
    </row>
    <row r="33" spans="1:4" x14ac:dyDescent="0.35">
      <c r="B33" s="3" t="s">
        <v>31</v>
      </c>
      <c r="D33">
        <v>103250395</v>
      </c>
    </row>
    <row r="34" spans="1:4" x14ac:dyDescent="0.35">
      <c r="B34" s="3" t="s">
        <v>30</v>
      </c>
      <c r="D34">
        <f>D31+D32+D33</f>
        <v>1177743512</v>
      </c>
    </row>
    <row r="35" spans="1:4" x14ac:dyDescent="0.35">
      <c r="B35" s="4" t="s">
        <v>34</v>
      </c>
      <c r="C35" s="5"/>
      <c r="D35" s="4">
        <f>SUM(D30:D33)</f>
        <v>1283694277</v>
      </c>
    </row>
    <row r="36" spans="1:4" x14ac:dyDescent="0.35">
      <c r="B36" s="4" t="s">
        <v>35</v>
      </c>
      <c r="C36" s="4"/>
      <c r="D36" s="4">
        <f>D35/$B$6</f>
        <v>6529.2067311604815</v>
      </c>
    </row>
    <row r="37" spans="1:4" x14ac:dyDescent="0.35">
      <c r="B37" s="4" t="s">
        <v>39</v>
      </c>
      <c r="C37" s="8"/>
      <c r="D37" s="13">
        <f>1/(D35*$B$7)</f>
        <v>3.8950084062733578E-2</v>
      </c>
    </row>
    <row r="38" spans="1:4" x14ac:dyDescent="0.35">
      <c r="B38" s="6"/>
      <c r="C38" s="7"/>
      <c r="D38" s="7"/>
    </row>
    <row r="40" spans="1:4" x14ac:dyDescent="0.35">
      <c r="A40" s="9" t="s">
        <v>42</v>
      </c>
      <c r="B40" s="3" t="s">
        <v>27</v>
      </c>
      <c r="D40">
        <v>106098183</v>
      </c>
    </row>
    <row r="41" spans="1:4" x14ac:dyDescent="0.35">
      <c r="B41" s="3" t="s">
        <v>28</v>
      </c>
      <c r="D41">
        <v>421850202</v>
      </c>
    </row>
    <row r="42" spans="1:4" x14ac:dyDescent="0.35">
      <c r="B42" s="3" t="s">
        <v>29</v>
      </c>
      <c r="D42">
        <v>421864723</v>
      </c>
    </row>
    <row r="43" spans="1:4" x14ac:dyDescent="0.35">
      <c r="B43" s="3" t="s">
        <v>31</v>
      </c>
      <c r="D43">
        <v>102949870</v>
      </c>
    </row>
    <row r="44" spans="1:4" x14ac:dyDescent="0.35">
      <c r="B44" s="3" t="s">
        <v>30</v>
      </c>
      <c r="D44">
        <f>D41+D42+D43</f>
        <v>946664795</v>
      </c>
    </row>
    <row r="45" spans="1:4" x14ac:dyDescent="0.35">
      <c r="B45" s="4" t="s">
        <v>34</v>
      </c>
      <c r="C45" s="5"/>
      <c r="D45" s="4">
        <f>SUM(D40:D43)</f>
        <v>1052762978</v>
      </c>
    </row>
    <row r="46" spans="1:4" x14ac:dyDescent="0.35">
      <c r="B46" s="4" t="s">
        <v>35</v>
      </c>
      <c r="C46" s="4"/>
      <c r="D46" s="4">
        <f>D45/$B$6</f>
        <v>5354.6294047037763</v>
      </c>
    </row>
    <row r="47" spans="1:4" x14ac:dyDescent="0.35">
      <c r="B47" s="4" t="s">
        <v>39</v>
      </c>
      <c r="C47" s="8"/>
      <c r="D47" s="13">
        <f>1/(D45*$B$7)</f>
        <v>4.7494071357817066E-2</v>
      </c>
    </row>
    <row r="50" spans="1:4" x14ac:dyDescent="0.35">
      <c r="A50" s="9" t="s">
        <v>43</v>
      </c>
      <c r="B50" s="3" t="s">
        <v>27</v>
      </c>
      <c r="D50">
        <v>154756745</v>
      </c>
    </row>
    <row r="51" spans="1:4" x14ac:dyDescent="0.35">
      <c r="B51" s="3" t="s">
        <v>28</v>
      </c>
      <c r="D51">
        <v>351853397</v>
      </c>
    </row>
    <row r="52" spans="1:4" x14ac:dyDescent="0.35">
      <c r="B52" s="3" t="s">
        <v>29</v>
      </c>
      <c r="D52">
        <v>348055958</v>
      </c>
    </row>
    <row r="53" spans="1:4" x14ac:dyDescent="0.35">
      <c r="B53" s="3" t="s">
        <v>31</v>
      </c>
      <c r="D53">
        <v>102552347</v>
      </c>
    </row>
    <row r="54" spans="1:4" x14ac:dyDescent="0.35">
      <c r="B54" s="3" t="s">
        <v>30</v>
      </c>
      <c r="D54">
        <f>D51+D52+D53</f>
        <v>802461702</v>
      </c>
    </row>
    <row r="55" spans="1:4" x14ac:dyDescent="0.35">
      <c r="B55" s="4" t="s">
        <v>34</v>
      </c>
      <c r="C55" s="5"/>
      <c r="D55" s="4">
        <f>SUM(D50:D53)</f>
        <v>957218447</v>
      </c>
    </row>
    <row r="56" spans="1:4" x14ac:dyDescent="0.35">
      <c r="B56" s="4" t="s">
        <v>35</v>
      </c>
      <c r="C56" s="4"/>
      <c r="D56" s="4">
        <f>D55/$B$6</f>
        <v>4868.6647898356123</v>
      </c>
    </row>
    <row r="57" spans="1:4" x14ac:dyDescent="0.35">
      <c r="B57" s="4" t="s">
        <v>39</v>
      </c>
      <c r="C57" s="8"/>
      <c r="D57" s="13">
        <f>1/(D55*$B$7)</f>
        <v>5.223468076352273E-2</v>
      </c>
    </row>
    <row r="60" spans="1:4" x14ac:dyDescent="0.35">
      <c r="A60" s="9" t="s">
        <v>44</v>
      </c>
      <c r="B60" s="3" t="s">
        <v>27</v>
      </c>
      <c r="D60">
        <v>154756745</v>
      </c>
    </row>
    <row r="61" spans="1:4" x14ac:dyDescent="0.35">
      <c r="B61" s="3" t="s">
        <v>30</v>
      </c>
      <c r="D61">
        <v>669978092</v>
      </c>
    </row>
    <row r="62" spans="1:4" x14ac:dyDescent="0.35">
      <c r="B62" s="4" t="s">
        <v>34</v>
      </c>
      <c r="C62" s="5"/>
      <c r="D62" s="4">
        <f>SUM(D60:D61)</f>
        <v>824734837</v>
      </c>
    </row>
    <row r="63" spans="1:4" x14ac:dyDescent="0.35">
      <c r="B63" s="4" t="s">
        <v>35</v>
      </c>
      <c r="C63" s="4"/>
      <c r="D63" s="4">
        <f>D62/$B$6</f>
        <v>4194.8183034261065</v>
      </c>
    </row>
    <row r="64" spans="1:4" x14ac:dyDescent="0.35">
      <c r="B64" s="4" t="s">
        <v>39</v>
      </c>
      <c r="C64" s="8"/>
      <c r="D64" s="13">
        <f>1/(D62*$B$7)</f>
        <v>6.0625546244507666E-2</v>
      </c>
    </row>
    <row r="67" spans="1:4" x14ac:dyDescent="0.35">
      <c r="A67" s="9" t="s">
        <v>45</v>
      </c>
      <c r="B67" s="3" t="s">
        <v>27</v>
      </c>
      <c r="C67">
        <v>14838006</v>
      </c>
      <c r="D67">
        <v>99568972</v>
      </c>
    </row>
    <row r="68" spans="1:4" x14ac:dyDescent="0.35">
      <c r="B68" s="3" t="s">
        <v>30</v>
      </c>
      <c r="C68">
        <v>47960932</v>
      </c>
      <c r="D68">
        <v>242991127</v>
      </c>
    </row>
    <row r="69" spans="1:4" x14ac:dyDescent="0.35">
      <c r="B69" s="4" t="s">
        <v>34</v>
      </c>
      <c r="C69" s="4">
        <f>SUM(C67:C68)</f>
        <v>62798938</v>
      </c>
      <c r="D69" s="4">
        <f>SUM(D67:D68)</f>
        <v>342560099</v>
      </c>
    </row>
    <row r="70" spans="1:4" x14ac:dyDescent="0.35">
      <c r="B70" s="4" t="s">
        <v>35</v>
      </c>
      <c r="C70" s="4">
        <f>C69/$B$6</f>
        <v>319.41191609700519</v>
      </c>
      <c r="D70" s="4">
        <f>D69/$B$6</f>
        <v>1742.3507639567058</v>
      </c>
    </row>
    <row r="71" spans="1:4" x14ac:dyDescent="0.35">
      <c r="B71" s="4" t="s">
        <v>39</v>
      </c>
      <c r="C71" s="13">
        <f>1/(C69*$B$7)</f>
        <v>0.79619180821178848</v>
      </c>
      <c r="D71" s="13">
        <f>1/(D69*$B$7)</f>
        <v>0.14595978967182632</v>
      </c>
    </row>
    <row r="74" spans="1:4" x14ac:dyDescent="0.35">
      <c r="A74" s="9" t="s">
        <v>46</v>
      </c>
      <c r="B74" s="3" t="s">
        <v>48</v>
      </c>
      <c r="C74">
        <v>20153129</v>
      </c>
    </row>
    <row r="75" spans="1:4" x14ac:dyDescent="0.35">
      <c r="B75" s="3" t="s">
        <v>27</v>
      </c>
      <c r="C75">
        <v>6430141</v>
      </c>
    </row>
    <row r="76" spans="1:4" x14ac:dyDescent="0.35">
      <c r="B76" s="4" t="s">
        <v>34</v>
      </c>
      <c r="C76" s="4">
        <f>SUM(C74:C75)</f>
        <v>26583270</v>
      </c>
      <c r="D76" s="6"/>
    </row>
    <row r="77" spans="1:4" x14ac:dyDescent="0.35">
      <c r="B77" s="4" t="s">
        <v>35</v>
      </c>
      <c r="C77" s="4">
        <f>C76/$B$6</f>
        <v>135.20950317382813</v>
      </c>
      <c r="D77" s="6"/>
    </row>
    <row r="78" spans="1:4" x14ac:dyDescent="0.35">
      <c r="B78" s="4" t="s">
        <v>39</v>
      </c>
      <c r="C78" s="13">
        <f>1/(C76*$B$7)</f>
        <v>1.8808822240454239</v>
      </c>
      <c r="D78" s="11"/>
    </row>
    <row r="81" spans="1:3" x14ac:dyDescent="0.35">
      <c r="A81" s="9" t="s">
        <v>47</v>
      </c>
      <c r="B81" s="3" t="s">
        <v>30</v>
      </c>
      <c r="C81">
        <v>18776328</v>
      </c>
    </row>
    <row r="82" spans="1:3" x14ac:dyDescent="0.35">
      <c r="B82" s="3" t="s">
        <v>27</v>
      </c>
      <c r="C82">
        <v>4408428</v>
      </c>
    </row>
    <row r="83" spans="1:3" x14ac:dyDescent="0.35">
      <c r="B83" s="4" t="s">
        <v>34</v>
      </c>
      <c r="C83" s="4">
        <f>SUM(C81:C82)</f>
        <v>23184756</v>
      </c>
    </row>
    <row r="84" spans="1:3" x14ac:dyDescent="0.35">
      <c r="B84" s="4" t="s">
        <v>35</v>
      </c>
      <c r="C84" s="4">
        <f>C83/$B$6</f>
        <v>117.92376708984375</v>
      </c>
    </row>
    <row r="85" spans="1:3" x14ac:dyDescent="0.35">
      <c r="B85" s="4" t="s">
        <v>39</v>
      </c>
      <c r="C85" s="13">
        <f>1/(C83*$B$7)</f>
        <v>2.1565894417866636</v>
      </c>
    </row>
    <row r="88" spans="1:3" x14ac:dyDescent="0.35">
      <c r="A88" s="9" t="s">
        <v>8</v>
      </c>
      <c r="B88" s="3" t="s">
        <v>30</v>
      </c>
      <c r="C88">
        <v>18776328</v>
      </c>
    </row>
    <row r="89" spans="1:3" x14ac:dyDescent="0.35">
      <c r="B89" s="3" t="s">
        <v>27</v>
      </c>
      <c r="C89">
        <v>4229894</v>
      </c>
    </row>
    <row r="90" spans="1:3" x14ac:dyDescent="0.35">
      <c r="B90" s="4" t="s">
        <v>34</v>
      </c>
      <c r="C90" s="4">
        <f>SUM(C88:C89)</f>
        <v>23006222</v>
      </c>
    </row>
    <row r="91" spans="1:3" x14ac:dyDescent="0.35">
      <c r="B91" s="4" t="s">
        <v>35</v>
      </c>
      <c r="C91" s="4">
        <f>C90/$B$6</f>
        <v>117.0156962076823</v>
      </c>
    </row>
    <row r="92" spans="1:3" x14ac:dyDescent="0.35">
      <c r="B92" s="4" t="s">
        <v>39</v>
      </c>
      <c r="C92" s="13">
        <f>1/(C90*$B$7)</f>
        <v>2.1733251117893237</v>
      </c>
    </row>
    <row r="95" spans="1:3" x14ac:dyDescent="0.35">
      <c r="A95" s="9" t="s">
        <v>6</v>
      </c>
      <c r="B95" s="3" t="s">
        <v>30</v>
      </c>
      <c r="C95">
        <v>18776328</v>
      </c>
    </row>
    <row r="96" spans="1:3" x14ac:dyDescent="0.35">
      <c r="B96" s="3" t="s">
        <v>27</v>
      </c>
      <c r="C96">
        <v>3715690</v>
      </c>
    </row>
    <row r="97" spans="1:3" x14ac:dyDescent="0.35">
      <c r="B97" s="4" t="s">
        <v>34</v>
      </c>
      <c r="C97" s="4">
        <f>SUM(C95:C96)</f>
        <v>22492018</v>
      </c>
    </row>
    <row r="98" spans="1:3" x14ac:dyDescent="0.35">
      <c r="B98" s="4" t="s">
        <v>35</v>
      </c>
      <c r="C98" s="4">
        <f>C97/$B$6</f>
        <v>114.4003194173177</v>
      </c>
    </row>
    <row r="99" spans="1:3" x14ac:dyDescent="0.35">
      <c r="B99" s="4" t="s">
        <v>39</v>
      </c>
      <c r="C99" s="13">
        <f>1/(C97*$B$7)</f>
        <v>2.2230108476704937</v>
      </c>
    </row>
    <row r="102" spans="1:3" x14ac:dyDescent="0.35">
      <c r="A102" s="9" t="s">
        <v>7</v>
      </c>
      <c r="B102" s="3" t="s">
        <v>30</v>
      </c>
      <c r="C102">
        <v>18776328</v>
      </c>
    </row>
    <row r="103" spans="1:3" x14ac:dyDescent="0.35">
      <c r="B103" s="3" t="s">
        <v>27</v>
      </c>
      <c r="C103">
        <v>3781634</v>
      </c>
    </row>
    <row r="104" spans="1:3" x14ac:dyDescent="0.35">
      <c r="B104" s="4" t="s">
        <v>34</v>
      </c>
      <c r="C104" s="4">
        <f>SUM(C102:C103)</f>
        <v>22557962</v>
      </c>
    </row>
    <row r="105" spans="1:3" x14ac:dyDescent="0.35">
      <c r="B105" s="4" t="s">
        <v>35</v>
      </c>
      <c r="C105" s="4">
        <f>C104/$B$6</f>
        <v>114.73572794596355</v>
      </c>
    </row>
    <row r="106" spans="1:3" x14ac:dyDescent="0.35">
      <c r="B106" s="4" t="s">
        <v>39</v>
      </c>
      <c r="C106" s="13">
        <f>1/(C104*$B$7)</f>
        <v>2.2165122895410496</v>
      </c>
    </row>
    <row r="109" spans="1:3" x14ac:dyDescent="0.35">
      <c r="A109" s="9" t="s">
        <v>50</v>
      </c>
      <c r="B109" s="3" t="s">
        <v>30</v>
      </c>
      <c r="C109" s="1">
        <v>11951522</v>
      </c>
    </row>
    <row r="110" spans="1:3" x14ac:dyDescent="0.35">
      <c r="B110" s="3" t="s">
        <v>27</v>
      </c>
      <c r="C110" s="1">
        <v>3686602</v>
      </c>
    </row>
    <row r="111" spans="1:3" x14ac:dyDescent="0.35">
      <c r="B111" s="4" t="s">
        <v>34</v>
      </c>
      <c r="C111" s="4">
        <f>SUM(C109:C110)</f>
        <v>15638124</v>
      </c>
    </row>
    <row r="112" spans="1:3" x14ac:dyDescent="0.35">
      <c r="B112" s="4" t="s">
        <v>35</v>
      </c>
      <c r="C112" s="4">
        <f>C111/$B$6</f>
        <v>79.53961181640625</v>
      </c>
    </row>
    <row r="113" spans="1:3" x14ac:dyDescent="0.35">
      <c r="B113" s="4" t="s">
        <v>39</v>
      </c>
      <c r="C113" s="13">
        <f>1/(C111*$B$7)</f>
        <v>3.1973144604813211</v>
      </c>
    </row>
    <row r="116" spans="1:3" x14ac:dyDescent="0.35">
      <c r="A116" s="9" t="s">
        <v>49</v>
      </c>
      <c r="B116" s="3" t="s">
        <v>30</v>
      </c>
      <c r="C116" s="2">
        <v>23833070</v>
      </c>
    </row>
    <row r="117" spans="1:3" x14ac:dyDescent="0.35">
      <c r="B117" s="3" t="s">
        <v>27</v>
      </c>
      <c r="C117" s="2">
        <v>3698648</v>
      </c>
    </row>
    <row r="118" spans="1:3" x14ac:dyDescent="0.35">
      <c r="B118" s="4" t="s">
        <v>34</v>
      </c>
      <c r="C118" s="4">
        <f>SUM(C116:C117)</f>
        <v>27531718</v>
      </c>
    </row>
    <row r="119" spans="1:3" x14ac:dyDescent="0.35">
      <c r="B119" s="4" t="s">
        <v>35</v>
      </c>
      <c r="C119" s="4">
        <f>C118/$B$6</f>
        <v>140.03355916341147</v>
      </c>
    </row>
    <row r="120" spans="1:3" x14ac:dyDescent="0.35">
      <c r="B120" s="4" t="s">
        <v>39</v>
      </c>
      <c r="C120" s="13">
        <f>1/(C118*$B$7)</f>
        <v>1.8160871762524955</v>
      </c>
    </row>
    <row r="123" spans="1:3" x14ac:dyDescent="0.35">
      <c r="A123" s="9" t="s">
        <v>51</v>
      </c>
      <c r="B123" s="3" t="s">
        <v>30</v>
      </c>
      <c r="C123" s="1">
        <v>19909290</v>
      </c>
    </row>
    <row r="124" spans="1:3" x14ac:dyDescent="0.35">
      <c r="B124" s="3" t="s">
        <v>27</v>
      </c>
      <c r="C124" s="1">
        <v>3685206</v>
      </c>
    </row>
    <row r="125" spans="1:3" x14ac:dyDescent="0.35">
      <c r="B125" s="4" t="s">
        <v>34</v>
      </c>
      <c r="C125" s="4">
        <f>SUM(C123:C124)</f>
        <v>23594496</v>
      </c>
    </row>
    <row r="126" spans="1:3" x14ac:dyDescent="0.35">
      <c r="B126" s="4" t="s">
        <v>35</v>
      </c>
      <c r="C126" s="4">
        <f>C125/$B$6</f>
        <v>120.0078125</v>
      </c>
    </row>
    <row r="127" spans="1:3" x14ac:dyDescent="0.35">
      <c r="B127" s="4" t="s">
        <v>39</v>
      </c>
      <c r="C127" s="13">
        <f>1/(C125*$B$7)</f>
        <v>2.1191382939478767</v>
      </c>
    </row>
    <row r="130" spans="1:3" x14ac:dyDescent="0.35">
      <c r="A130" s="9" t="s">
        <v>52</v>
      </c>
      <c r="B130" s="3" t="s">
        <v>30</v>
      </c>
      <c r="C130" s="1">
        <v>10296189</v>
      </c>
    </row>
    <row r="131" spans="1:3" x14ac:dyDescent="0.35">
      <c r="B131" s="3" t="s">
        <v>27</v>
      </c>
      <c r="C131" s="1">
        <v>3918827</v>
      </c>
    </row>
    <row r="132" spans="1:3" x14ac:dyDescent="0.35">
      <c r="B132" s="4" t="s">
        <v>34</v>
      </c>
      <c r="C132" s="4">
        <f>SUM(C130:C131)</f>
        <v>14215016</v>
      </c>
    </row>
    <row r="133" spans="1:3" x14ac:dyDescent="0.35">
      <c r="B133" s="4" t="s">
        <v>35</v>
      </c>
      <c r="C133" s="4">
        <f>C132/$B$6</f>
        <v>72.301310221354171</v>
      </c>
    </row>
    <row r="134" spans="1:3" x14ac:dyDescent="0.35">
      <c r="B134" s="4" t="s">
        <v>39</v>
      </c>
      <c r="C134" s="13">
        <f>1/(C132*$B$7)</f>
        <v>3.5174072262739626</v>
      </c>
    </row>
    <row r="137" spans="1:3" x14ac:dyDescent="0.35">
      <c r="A137" s="9" t="s">
        <v>53</v>
      </c>
      <c r="B137" s="3" t="s">
        <v>30</v>
      </c>
      <c r="C137">
        <v>2816342</v>
      </c>
    </row>
    <row r="138" spans="1:3" x14ac:dyDescent="0.35">
      <c r="B138" s="3" t="s">
        <v>27</v>
      </c>
      <c r="C138">
        <v>4351191</v>
      </c>
    </row>
    <row r="139" spans="1:3" x14ac:dyDescent="0.35">
      <c r="B139" s="4" t="s">
        <v>34</v>
      </c>
      <c r="C139" s="4">
        <f>SUM(C137:C138)</f>
        <v>7167533</v>
      </c>
    </row>
    <row r="140" spans="1:3" x14ac:dyDescent="0.35">
      <c r="B140" s="4" t="s">
        <v>35</v>
      </c>
      <c r="C140" s="4">
        <f>C139/$B$6</f>
        <v>36.455958048502602</v>
      </c>
    </row>
    <row r="141" spans="1:3" x14ac:dyDescent="0.35">
      <c r="B141" s="4" t="s">
        <v>39</v>
      </c>
      <c r="C141" s="13">
        <f>1/(C139*$B$7)</f>
        <v>6.9759009131872851</v>
      </c>
    </row>
    <row r="144" spans="1:3" x14ac:dyDescent="0.35">
      <c r="A144" s="9" t="s">
        <v>55</v>
      </c>
      <c r="B144" s="3" t="s">
        <v>30</v>
      </c>
      <c r="C144">
        <v>4824463</v>
      </c>
    </row>
    <row r="145" spans="1:3" x14ac:dyDescent="0.35">
      <c r="B145" s="3" t="s">
        <v>27</v>
      </c>
      <c r="C145">
        <v>6385787</v>
      </c>
    </row>
    <row r="146" spans="1:3" x14ac:dyDescent="0.35">
      <c r="B146" s="4" t="s">
        <v>34</v>
      </c>
      <c r="C146" s="4">
        <f>SUM(C144:C145)</f>
        <v>11210250</v>
      </c>
    </row>
    <row r="147" spans="1:3" x14ac:dyDescent="0.35">
      <c r="B147" s="4" t="s">
        <v>35</v>
      </c>
      <c r="C147" s="4">
        <f>C146/$B$6</f>
        <v>57.018280029296875</v>
      </c>
    </row>
    <row r="148" spans="1:3" x14ac:dyDescent="0.35">
      <c r="B148" s="4" t="s">
        <v>39</v>
      </c>
      <c r="C148" s="13">
        <f>1/(C146*$B$7)</f>
        <v>4.4602038313150905</v>
      </c>
    </row>
    <row r="151" spans="1:3" x14ac:dyDescent="0.35">
      <c r="A151" s="9" t="s">
        <v>57</v>
      </c>
      <c r="B151" s="3" t="s">
        <v>30</v>
      </c>
      <c r="C151">
        <v>9696266</v>
      </c>
    </row>
    <row r="152" spans="1:3" x14ac:dyDescent="0.35">
      <c r="B152" s="3" t="s">
        <v>27</v>
      </c>
      <c r="C152">
        <v>2835813</v>
      </c>
    </row>
    <row r="153" spans="1:3" x14ac:dyDescent="0.35">
      <c r="B153" s="4" t="s">
        <v>34</v>
      </c>
      <c r="C153" s="4">
        <f>SUM(C151:C152)</f>
        <v>12532079</v>
      </c>
    </row>
    <row r="154" spans="1:3" x14ac:dyDescent="0.35">
      <c r="B154" s="4" t="s">
        <v>35</v>
      </c>
      <c r="C154" s="4">
        <f>C153/$B$6</f>
        <v>63.741449991861977</v>
      </c>
    </row>
    <row r="155" spans="1:3" x14ac:dyDescent="0.35">
      <c r="B155" s="4" t="s">
        <v>39</v>
      </c>
      <c r="C155" s="13">
        <f>1/(C153*$B$7)</f>
        <v>3.9897609965593093</v>
      </c>
    </row>
    <row r="158" spans="1:3" x14ac:dyDescent="0.35">
      <c r="A158" s="9" t="s">
        <v>56</v>
      </c>
      <c r="B158" s="3" t="s">
        <v>30</v>
      </c>
      <c r="C158">
        <v>7634716</v>
      </c>
    </row>
    <row r="159" spans="1:3" x14ac:dyDescent="0.35">
      <c r="B159" s="3" t="s">
        <v>27</v>
      </c>
      <c r="C159">
        <v>2231951</v>
      </c>
    </row>
    <row r="160" spans="1:3" x14ac:dyDescent="0.35">
      <c r="B160" s="4" t="s">
        <v>34</v>
      </c>
      <c r="C160" s="4">
        <f>SUM(C158:C159)</f>
        <v>9866667</v>
      </c>
    </row>
    <row r="161" spans="1:3" x14ac:dyDescent="0.35">
      <c r="B161" s="4" t="s">
        <v>35</v>
      </c>
      <c r="C161" s="4">
        <f>C160/$B$6</f>
        <v>50.184463500976563</v>
      </c>
    </row>
    <row r="162" spans="1:3" x14ac:dyDescent="0.35">
      <c r="B162" s="4" t="s">
        <v>39</v>
      </c>
      <c r="C162" s="13">
        <f>1/(C160*$B$7)</f>
        <v>5.0675673963659662</v>
      </c>
    </row>
    <row r="165" spans="1:3" x14ac:dyDescent="0.35">
      <c r="A165" s="9" t="s">
        <v>54</v>
      </c>
      <c r="B165" s="3" t="s">
        <v>30</v>
      </c>
      <c r="C165">
        <v>2179138</v>
      </c>
    </row>
    <row r="166" spans="1:3" x14ac:dyDescent="0.35">
      <c r="B166" s="3" t="s">
        <v>27</v>
      </c>
      <c r="C166">
        <v>2262266</v>
      </c>
    </row>
    <row r="167" spans="1:3" x14ac:dyDescent="0.35">
      <c r="B167" s="4" t="s">
        <v>34</v>
      </c>
      <c r="C167" s="4">
        <f>SUM(C165:C166)</f>
        <v>4441404</v>
      </c>
    </row>
    <row r="168" spans="1:3" x14ac:dyDescent="0.35">
      <c r="B168" s="4" t="s">
        <v>35</v>
      </c>
      <c r="C168" s="4">
        <f>C167/$B$6</f>
        <v>22.59014892578125</v>
      </c>
    </row>
    <row r="169" spans="1:3" x14ac:dyDescent="0.35">
      <c r="B169" s="4" t="s">
        <v>39</v>
      </c>
      <c r="C169" s="13">
        <f>1/(C167*$B$7)</f>
        <v>11.257701393523309</v>
      </c>
    </row>
    <row r="172" spans="1:3" x14ac:dyDescent="0.35">
      <c r="A172" s="9" t="s">
        <v>16</v>
      </c>
      <c r="B172" s="3" t="s">
        <v>30</v>
      </c>
      <c r="C172">
        <v>7752733</v>
      </c>
    </row>
    <row r="173" spans="1:3" x14ac:dyDescent="0.35">
      <c r="B173" s="3" t="s">
        <v>27</v>
      </c>
      <c r="C173">
        <v>2072353</v>
      </c>
    </row>
    <row r="174" spans="1:3" x14ac:dyDescent="0.35">
      <c r="B174" s="4" t="s">
        <v>34</v>
      </c>
      <c r="C174" s="4">
        <f>SUM(C172:C173)</f>
        <v>9825086</v>
      </c>
    </row>
    <row r="175" spans="1:3" x14ac:dyDescent="0.35">
      <c r="B175" s="4" t="s">
        <v>35</v>
      </c>
      <c r="C175" s="4">
        <f>C174/$B$6</f>
        <v>49.972971598307289</v>
      </c>
    </row>
    <row r="176" spans="1:3" x14ac:dyDescent="0.35">
      <c r="B176" s="4" t="s">
        <v>39</v>
      </c>
      <c r="C176" s="8">
        <f>1/(C174*$B$7)</f>
        <v>5.0890139791142799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Schick Benoit</dc:creator>
  <cp:lastModifiedBy>Schick Benoit</cp:lastModifiedBy>
  <dcterms:created xsi:type="dcterms:W3CDTF">2025-11-22T15:45:50Z</dcterms:created>
  <dcterms:modified xsi:type="dcterms:W3CDTF">2025-12-07T21:42:10Z</dcterms:modified>
</cp:coreProperties>
</file>